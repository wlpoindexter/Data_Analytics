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will/data_analytics/week_1/"/>
    </mc:Choice>
  </mc:AlternateContent>
  <xr:revisionPtr revIDLastSave="0" documentId="8_{05D9339E-8CFB-5241-A5C0-EEA4260F6753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urvey Results" sheetId="1" r:id="rId1"/>
    <sheet name="What Customers Enjoyed Most" sheetId="2" r:id="rId2"/>
    <sheet name="Preferred Loyalty Program Rewar" sheetId="3" r:id="rId3"/>
  </sheets>
  <calcPr calcId="191028"/>
  <pivotCaches>
    <pivotCache cacheId="3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M7" i="1"/>
  <c r="K7" i="1"/>
  <c r="L7" i="1"/>
  <c r="H7" i="1"/>
  <c r="I7" i="1"/>
  <c r="D7" i="1"/>
  <c r="D3" i="1"/>
  <c r="D2" i="1"/>
  <c r="D4" i="1"/>
  <c r="D5" i="1"/>
  <c r="D6" i="1"/>
</calcChain>
</file>

<file path=xl/sharedStrings.xml><?xml version="1.0" encoding="utf-8"?>
<sst xmlns="http://schemas.openxmlformats.org/spreadsheetml/2006/main" count="59" uniqueCount="42">
  <si>
    <t>ID</t>
  </si>
  <si>
    <t>Start time</t>
  </si>
  <si>
    <t>Completion time</t>
  </si>
  <si>
    <t>Email</t>
  </si>
  <si>
    <t>Name</t>
  </si>
  <si>
    <t>Last modified time</t>
  </si>
  <si>
    <t>How often do you visit us?</t>
  </si>
  <si>
    <t>How would you rate your most recent experience?</t>
  </si>
  <si>
    <t>What did you enjoy most?</t>
  </si>
  <si>
    <t>What could we improve?</t>
  </si>
  <si>
    <t>How would you describe our prices?</t>
  </si>
  <si>
    <t>Would you be interested in a rewards/loyalty program?</t>
  </si>
  <si>
    <t>ccelik@my.yearupunited.org</t>
  </si>
  <si>
    <t>cagla celik</t>
  </si>
  <si>
    <t>Occasionally (1–2 times/month)</t>
  </si>
  <si>
    <t>Atmosphere</t>
  </si>
  <si>
    <t>Relaxing playlist</t>
  </si>
  <si>
    <t>Fair</t>
  </si>
  <si>
    <t>Points system</t>
  </si>
  <si>
    <t>fbaslar@my.yearupunited.org</t>
  </si>
  <si>
    <t>fuat baslar</t>
  </si>
  <si>
    <t>First time</t>
  </si>
  <si>
    <t>Food quality</t>
  </si>
  <si>
    <t>-</t>
  </si>
  <si>
    <t>Too expensive</t>
  </si>
  <si>
    <t>lpham1@my.yearupunited.org</t>
  </si>
  <si>
    <t>longley pham</t>
  </si>
  <si>
    <t>Rarely (once every few months)n 2</t>
  </si>
  <si>
    <t>more cupcakes</t>
  </si>
  <si>
    <t>Slightly expensive</t>
  </si>
  <si>
    <t>Free items (ex, free drink/meal)</t>
  </si>
  <si>
    <t>tarista@my.yearupunited.org</t>
  </si>
  <si>
    <t>tracy arista</t>
  </si>
  <si>
    <t xml:space="preserve">healthier options protein based </t>
  </si>
  <si>
    <t>mruiz3@my.yearupunited.org</t>
  </si>
  <si>
    <t>maritza ruiz</t>
  </si>
  <si>
    <t>Price/value</t>
  </si>
  <si>
    <t>Options</t>
  </si>
  <si>
    <t>Time to Complete</t>
  </si>
  <si>
    <t>Row Labels</t>
  </si>
  <si>
    <t>Grand Total</t>
  </si>
  <si>
    <t>Count of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</si>
</sst>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quotePrefix="1"/>
    <xf numFmtId="4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1" formatCode="[h]:mm:ss"/>
    </dxf>
    <dxf>
      <numFmt numFmtId="31" formatCode="[h]:mm:ss"/>
    </dxf>
    <dxf>
      <numFmt numFmtId="164" formatCode="m/d/yy\ h:mm:ss"/>
    </dxf>
    <dxf>
      <numFmt numFmtId="164" formatCode="m/d/yy\ h:mm:ss"/>
    </dxf>
    <dxf>
      <numFmt numFmtId="164" formatCode="m/d/yy\ h:mm:ss"/>
    </dxf>
    <dxf>
      <numFmt numFmtId="164" formatCode="m/d/yy\ h:mm:ss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[Ex5B_Restaurant_customer_survey_results.xlsx]What Customers Enjoyed Most!PivotTable9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What Customers Enjoyed Most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'What Customers Enjoyed Most'!$B$1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4F3-C14B-B6A9-53DA8D2304B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4F3-C14B-B6A9-53DA8D2304B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4F3-C14B-B6A9-53DA8D2304B0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'What Customers Enjoyed Most'!$A$2:$A$5</c:f>
              <c:strCache>
                <c:ptCount val="3"/>
                <c:pt idx="0">
                  <c:v>Atmosphere</c:v>
                </c:pt>
                <c:pt idx="1">
                  <c:v>Food quality</c:v>
                </c:pt>
                <c:pt idx="2">
                  <c:v>Price/value</c:v>
                </c:pt>
              </c:strCache>
            </c:strRef>
          </c:cat>
          <c:val>
            <c:numRef>
              <c:f>'What Customers Enjoyed Most'!$B$2:$B$5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A-544A-9943-A3C7721471C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[Ex5B_Restaurant_customer_survey_results.xlsx]Preferred Loyalty Program Rewar!PivotTable10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Preferred Loyalty Program Rewards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'Preferred Loyalty Program Rewar'!$B$1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682-6A48-9DFA-02C929737AE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682-6A48-9DFA-02C929737AED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'Preferred Loyalty Program Rewar'!$A$2:$A$4</c:f>
              <c:strCache>
                <c:ptCount val="2"/>
                <c:pt idx="0">
                  <c:v>Free items (ex, free drink/meal)</c:v>
                </c:pt>
                <c:pt idx="1">
                  <c:v>Points system</c:v>
                </c:pt>
              </c:strCache>
            </c:strRef>
          </c:cat>
          <c:val>
            <c:numRef>
              <c:f>'Preferred Loyalty Program Rewar'!$B$2:$B$4</c:f>
              <c:numCache>
                <c:formatCode>General</c:formatCode>
                <c:ptCount val="2"/>
                <c:pt idx="0">
                  <c:v>3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A7-2E4D-8EBA-6E273C37D06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9</xdr:col>
      <xdr:colOff>444500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00AA4E-7B7E-1A04-582E-19B23EF7B7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9</xdr:col>
      <xdr:colOff>444500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EBDA8D-F954-5375-1A1D-A1FB2D5749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 Poindexter" refreshedDate="46125.501791666669" createdVersion="8" refreshedVersion="8" minRefreshableVersion="3" recordCount="5" xr:uid="{9D2A1E41-8479-1D41-906F-121671EBAB1F}">
  <cacheSource type="worksheet">
    <worksheetSource name="Table1"/>
  </cacheSource>
  <cacheFields count="13">
    <cacheField name="ID" numFmtId="0">
      <sharedItems containsSemiMixedTypes="0" containsString="0" containsNumber="1" containsInteger="1" minValue="1" maxValue="5"/>
    </cacheField>
    <cacheField name="Start time" numFmtId="164">
      <sharedItems containsSemiMixedTypes="0" containsNonDate="0" containsDate="1" containsString="0" minDate="2026-04-09T13:31:18" maxDate="2026-04-09T17:22:56"/>
    </cacheField>
    <cacheField name="Completion time" numFmtId="164">
      <sharedItems containsSemiMixedTypes="0" containsNonDate="0" containsDate="1" containsString="0" minDate="2026-04-09T13:32:06" maxDate="2026-04-09T17:34:31"/>
    </cacheField>
    <cacheField name="Time to Complete" numFmtId="46">
      <sharedItems containsSemiMixedTypes="0" containsNonDate="0" containsDate="1" containsString="0" minDate="1899-12-30T00:00:18" maxDate="1899-12-30T01:21:55"/>
    </cacheField>
    <cacheField name="Email" numFmtId="0">
      <sharedItems/>
    </cacheField>
    <cacheField name="Name" numFmtId="0">
      <sharedItems/>
    </cacheField>
    <cacheField name="Last modified time" numFmtId="164">
      <sharedItems containsNonDate="0" containsString="0" containsBlank="1"/>
    </cacheField>
    <cacheField name="How often do you visit us?" numFmtId="0">
      <sharedItems/>
    </cacheField>
    <cacheField name="How would you rate your most recent experience?" numFmtId="0">
      <sharedItems containsSemiMixedTypes="0" containsString="0" containsNumber="1" containsInteger="1" minValue="3" maxValue="5"/>
    </cacheField>
    <cacheField name="What did you enjoy most?" numFmtId="0">
      <sharedItems count="3">
        <s v="Atmosphere"/>
        <s v="Food quality"/>
        <s v="Price/value"/>
      </sharedItems>
    </cacheField>
    <cacheField name="What could we improve?" numFmtId="0">
      <sharedItems/>
    </cacheField>
    <cacheField name="How would you describe our prices?" numFmtId="0">
      <sharedItems/>
    </cacheField>
    <cacheField name="Would you be interested in a rewards/loyalty program?" numFmtId="0">
      <sharedItems count="2">
        <s v="Points system"/>
        <s v="Free items (ex, free drink/meal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"/>
    <d v="2026-04-09T13:31:18"/>
    <d v="2026-04-09T13:32:06"/>
    <d v="1899-12-30T00:00:48"/>
    <s v="ccelik@my.yearupunited.org"/>
    <s v="cagla celik"/>
    <m/>
    <s v="Occasionally (1–2 times/month)"/>
    <n v="4"/>
    <x v="0"/>
    <s v="Relaxing playlist"/>
    <s v="Fair"/>
    <x v="0"/>
  </r>
  <r>
    <n v="2"/>
    <d v="2026-04-09T13:35:51"/>
    <d v="2026-04-09T13:36:09"/>
    <d v="1899-12-30T00:00:18"/>
    <s v="fbaslar@my.yearupunited.org"/>
    <s v="fuat baslar"/>
    <m/>
    <s v="First time"/>
    <n v="5"/>
    <x v="1"/>
    <s v="-"/>
    <s v="Too expensive"/>
    <x v="0"/>
  </r>
  <r>
    <n v="3"/>
    <d v="2026-04-09T14:21:29"/>
    <d v="2026-04-09T14:21:50"/>
    <d v="1899-12-30T00:00:21"/>
    <s v="lpham1@my.yearupunited.org"/>
    <s v="longley pham"/>
    <m/>
    <s v="Rarely (once every few months)n 2"/>
    <n v="4"/>
    <x v="1"/>
    <s v="more cupcakes"/>
    <s v="Slightly expensive"/>
    <x v="1"/>
  </r>
  <r>
    <n v="4"/>
    <d v="2026-04-09T13:59:50"/>
    <d v="2026-04-09T15:21:45"/>
    <d v="1899-12-30T01:21:55"/>
    <s v="tarista@my.yearupunited.org"/>
    <s v="tracy arista"/>
    <m/>
    <s v="First time"/>
    <n v="3"/>
    <x v="1"/>
    <s v="healthier options protein based "/>
    <s v="Slightly expensive"/>
    <x v="1"/>
  </r>
  <r>
    <n v="5"/>
    <d v="2026-04-09T17:22:56"/>
    <d v="2026-04-09T17:34:31"/>
    <d v="1899-12-30T00:11:35"/>
    <s v="mruiz3@my.yearupunited.org"/>
    <s v="maritza ruiz"/>
    <m/>
    <s v="First time"/>
    <n v="4"/>
    <x v="2"/>
    <s v="Options"/>
    <s v="Slightly expensive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FCDCDB-558A-DC49-876F-50014102D1F7}" name="PivotTable9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5" firstHeaderRow="1" firstDataRow="1" firstDataCol="1"/>
  <pivotFields count="13">
    <pivotField showAll="0"/>
    <pivotField numFmtId="164" showAll="0"/>
    <pivotField numFmtId="164" showAll="0"/>
    <pivotField numFmtId="46" showAll="0"/>
    <pivotField showAll="0"/>
    <pivotField dataField="1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Name" fld="5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F2F65B-61EB-9841-B3AD-1F648D027B76}" name="PivotTable10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4" firstHeaderRow="1" firstDataRow="1" firstDataCol="1"/>
  <pivotFields count="13">
    <pivotField showAll="0"/>
    <pivotField numFmtId="164" showAll="0"/>
    <pivotField numFmtId="164" showAll="0"/>
    <pivotField numFmtId="46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Count of Name" fld="5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7" totalsRowCount="1">
  <autoFilter ref="A1:M6" xr:uid="{00000000-0009-0000-0100-000001000000}"/>
  <tableColumns count="13">
    <tableColumn id="1" xr3:uid="{00000000-0010-0000-0000-000001000000}" name="ID" dataDxfId="25" totalsRowDxfId="24"/>
    <tableColumn id="2" xr3:uid="{00000000-0010-0000-0000-000002000000}" name="Start time" dataDxfId="23" totalsRowDxfId="22"/>
    <tableColumn id="3" xr3:uid="{00000000-0010-0000-0000-000003000000}" name="Completion time" dataDxfId="21" totalsRowDxfId="20"/>
    <tableColumn id="16" xr3:uid="{EA2DB34B-1E78-C24A-93AB-C71C6AFADF73}" name="Time to Complete" totalsRowFunction="custom" dataDxfId="19" totalsRowDxfId="18">
      <calculatedColumnFormula>C2-B2</calculatedColumnFormula>
      <totalsRowFormula>AVERAGE(Table1[Time to Complete])</totalsRowFormula>
    </tableColumn>
    <tableColumn id="4" xr3:uid="{00000000-0010-0000-0000-000004000000}" name="Email" dataDxfId="17" totalsRowDxfId="16"/>
    <tableColumn id="5" xr3:uid="{00000000-0010-0000-0000-000005000000}" name="Name" dataDxfId="15" totalsRowDxfId="14"/>
    <tableColumn id="6" xr3:uid="{00000000-0010-0000-0000-000006000000}" name="Last modified time" dataDxfId="13" totalsRowDxfId="12"/>
    <tableColumn id="7" xr3:uid="{00000000-0010-0000-0000-000007000000}" name="How often do you visit us?" totalsRowFunction="custom" dataDxfId="11" totalsRowDxfId="10">
      <totalsRowFormula>COUNTIF(Table1[How often do you visit us?],"First time")</totalsRowFormula>
    </tableColumn>
    <tableColumn id="8" xr3:uid="{00000000-0010-0000-0000-000008000000}" name="How would you rate your most recent experience?" totalsRowFunction="custom" dataDxfId="9" totalsRowDxfId="8">
      <totalsRowFormula>AVERAGE(Table1[How would you rate your most recent experience?])</totalsRowFormula>
    </tableColumn>
    <tableColumn id="9" xr3:uid="{00000000-0010-0000-0000-000009000000}" name="What did you enjoy most?" totalsRowFunction="custom" dataDxfId="7" totalsRowDxfId="6">
      <totalsRowFormula>COUNTIF(J2:J6,"*Food*")</totalsRowFormula>
    </tableColumn>
    <tableColumn id="10" xr3:uid="{00000000-0010-0000-0000-00000A000000}" name="What could we improve?" totalsRowFunction="custom" dataDxfId="5" totalsRowDxfId="4">
      <totalsRowFormula>COUNTIF(Table1[What could we improve?],"*cupcakes*")</totalsRowFormula>
    </tableColumn>
    <tableColumn id="11" xr3:uid="{00000000-0010-0000-0000-00000B000000}" name="How would you describe our prices?" totalsRowFunction="custom" dataDxfId="3" totalsRowDxfId="2">
      <totalsRowFormula>COUNTIF(Table1[How would you describe our prices?],"*Slightly*")</totalsRowFormula>
    </tableColumn>
    <tableColumn id="12" xr3:uid="{00000000-0010-0000-0000-00000C000000}" name="Would you be interested in a rewards/loyalty program?" totalsRowFunction="custom" dataDxfId="1" totalsRowDxfId="0">
      <totalsRowFormula>COUNTIF(Table1[Would you be interested in a rewards/loyalty program?],"*Free*")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B15" sqref="B15"/>
    </sheetView>
  </sheetViews>
  <sheetFormatPr baseColWidth="10" defaultColWidth="8.83203125" defaultRowHeight="15" x14ac:dyDescent="0.2"/>
  <cols>
    <col min="1" max="1" width="20" bestFit="1" customWidth="1"/>
    <col min="2" max="2" width="20" style="1" bestFit="1" customWidth="1"/>
    <col min="3" max="3" width="20" bestFit="1" customWidth="1"/>
    <col min="4" max="4" width="20" style="3" customWidth="1"/>
    <col min="5" max="5" width="25" bestFit="1" customWidth="1"/>
    <col min="6" max="13" width="20" bestFit="1" customWidth="1"/>
  </cols>
  <sheetData>
    <row r="1" spans="1:13" x14ac:dyDescent="0.2">
      <c r="A1" t="s">
        <v>0</v>
      </c>
      <c r="B1" s="1" t="s">
        <v>1</v>
      </c>
      <c r="C1" t="s">
        <v>2</v>
      </c>
      <c r="D1" s="3" t="s">
        <v>38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">
      <c r="A2">
        <v>1</v>
      </c>
      <c r="B2" s="1">
        <v>46121.5634027778</v>
      </c>
      <c r="C2" s="1">
        <v>46121.563958333303</v>
      </c>
      <c r="D2" s="3">
        <f t="shared" ref="D2:D6" si="0">C2-B2</f>
        <v>5.5555550352437422E-4</v>
      </c>
      <c r="E2" t="s">
        <v>12</v>
      </c>
      <c r="F2" t="s">
        <v>13</v>
      </c>
      <c r="G2" s="1"/>
      <c r="H2" t="s">
        <v>14</v>
      </c>
      <c r="I2">
        <v>4</v>
      </c>
      <c r="J2" t="s">
        <v>15</v>
      </c>
      <c r="K2" t="s">
        <v>16</v>
      </c>
      <c r="L2" t="s">
        <v>17</v>
      </c>
      <c r="M2" t="s">
        <v>18</v>
      </c>
    </row>
    <row r="3" spans="1:13" x14ac:dyDescent="0.2">
      <c r="A3">
        <v>2</v>
      </c>
      <c r="B3" s="1">
        <v>46121.566562499997</v>
      </c>
      <c r="C3" s="1">
        <v>46121.566770833299</v>
      </c>
      <c r="D3" s="3">
        <f>C3-B3</f>
        <v>2.0833330199820921E-4</v>
      </c>
      <c r="E3" t="s">
        <v>19</v>
      </c>
      <c r="F3" t="s">
        <v>20</v>
      </c>
      <c r="G3" s="1"/>
      <c r="H3" t="s">
        <v>21</v>
      </c>
      <c r="I3">
        <v>5</v>
      </c>
      <c r="J3" t="s">
        <v>22</v>
      </c>
      <c r="K3" s="2" t="s">
        <v>23</v>
      </c>
      <c r="L3" t="s">
        <v>24</v>
      </c>
      <c r="M3" t="s">
        <v>18</v>
      </c>
    </row>
    <row r="4" spans="1:13" x14ac:dyDescent="0.2">
      <c r="A4">
        <v>3</v>
      </c>
      <c r="B4" s="1">
        <v>46121.598252314798</v>
      </c>
      <c r="C4" s="1">
        <v>46121.598495370403</v>
      </c>
      <c r="D4" s="3">
        <f t="shared" si="0"/>
        <v>2.4305560509674251E-4</v>
      </c>
      <c r="E4" t="s">
        <v>25</v>
      </c>
      <c r="F4" t="s">
        <v>26</v>
      </c>
      <c r="G4" s="1"/>
      <c r="H4" t="s">
        <v>27</v>
      </c>
      <c r="I4">
        <v>4</v>
      </c>
      <c r="J4" t="s">
        <v>22</v>
      </c>
      <c r="K4" t="s">
        <v>28</v>
      </c>
      <c r="L4" t="s">
        <v>29</v>
      </c>
      <c r="M4" t="s">
        <v>30</v>
      </c>
    </row>
    <row r="5" spans="1:13" x14ac:dyDescent="0.2">
      <c r="A5">
        <v>4</v>
      </c>
      <c r="B5" s="1">
        <v>46121.583217592597</v>
      </c>
      <c r="C5" s="1">
        <v>46121.640104166698</v>
      </c>
      <c r="D5" s="3">
        <f t="shared" si="0"/>
        <v>5.6886574100644793E-2</v>
      </c>
      <c r="E5" t="s">
        <v>31</v>
      </c>
      <c r="F5" t="s">
        <v>32</v>
      </c>
      <c r="G5" s="1"/>
      <c r="H5" t="s">
        <v>21</v>
      </c>
      <c r="I5">
        <v>3</v>
      </c>
      <c r="J5" t="s">
        <v>22</v>
      </c>
      <c r="K5" t="s">
        <v>33</v>
      </c>
      <c r="L5" t="s">
        <v>29</v>
      </c>
      <c r="M5" t="s">
        <v>30</v>
      </c>
    </row>
    <row r="6" spans="1:13" x14ac:dyDescent="0.2">
      <c r="A6">
        <v>5</v>
      </c>
      <c r="B6" s="1">
        <v>46121.724259259303</v>
      </c>
      <c r="C6" s="1">
        <v>46121.7323032407</v>
      </c>
      <c r="D6" s="3">
        <f t="shared" si="0"/>
        <v>8.0439813973498531E-3</v>
      </c>
      <c r="E6" t="s">
        <v>34</v>
      </c>
      <c r="F6" t="s">
        <v>35</v>
      </c>
      <c r="G6" s="1"/>
      <c r="H6" t="s">
        <v>21</v>
      </c>
      <c r="I6">
        <v>4</v>
      </c>
      <c r="J6" t="s">
        <v>36</v>
      </c>
      <c r="K6" t="s">
        <v>37</v>
      </c>
      <c r="L6" t="s">
        <v>29</v>
      </c>
      <c r="M6" t="s">
        <v>30</v>
      </c>
    </row>
    <row r="7" spans="1:13" x14ac:dyDescent="0.2">
      <c r="C7" s="1"/>
      <c r="D7" s="3">
        <f>AVERAGE(Table1[Time to Complete])</f>
        <v>1.3187499981722795E-2</v>
      </c>
      <c r="G7" s="1"/>
      <c r="H7">
        <f>COUNTIF(Table1[How often do you visit us?],"First time")</f>
        <v>3</v>
      </c>
      <c r="I7">
        <f>AVERAGE(Table1[How would you rate your most recent experience?])</f>
        <v>4</v>
      </c>
      <c r="J7">
        <f>COUNTIF(J2:J6,"*Food*")</f>
        <v>3</v>
      </c>
      <c r="K7">
        <f>COUNTIF(Table1[What could we improve?],"*cupcakes*")</f>
        <v>1</v>
      </c>
      <c r="L7">
        <f>COUNTIF(Table1[How would you describe our prices?],"*Slightly*")</f>
        <v>3</v>
      </c>
      <c r="M7">
        <f>COUNTIF(Table1[Would you be interested in a rewards/loyalty program?],"*Free*")</f>
        <v>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4BE08-B4C8-AC4F-82CD-F8AFD1188251}">
  <dimension ref="A1:B5"/>
  <sheetViews>
    <sheetView workbookViewId="0">
      <selection activeCell="P42" sqref="P42"/>
    </sheetView>
  </sheetViews>
  <sheetFormatPr baseColWidth="10" defaultRowHeight="15" x14ac:dyDescent="0.2"/>
  <cols>
    <col min="1" max="1" width="12.1640625" bestFit="1" customWidth="1"/>
    <col min="2" max="2" width="12.5" bestFit="1" customWidth="1"/>
  </cols>
  <sheetData>
    <row r="1" spans="1:2" x14ac:dyDescent="0.2">
      <c r="A1" s="4" t="s">
        <v>39</v>
      </c>
      <c r="B1" t="s">
        <v>41</v>
      </c>
    </row>
    <row r="2" spans="1:2" x14ac:dyDescent="0.2">
      <c r="A2" s="5" t="s">
        <v>15</v>
      </c>
      <c r="B2">
        <v>1</v>
      </c>
    </row>
    <row r="3" spans="1:2" x14ac:dyDescent="0.2">
      <c r="A3" s="5" t="s">
        <v>22</v>
      </c>
      <c r="B3">
        <v>3</v>
      </c>
    </row>
    <row r="4" spans="1:2" x14ac:dyDescent="0.2">
      <c r="A4" s="5" t="s">
        <v>36</v>
      </c>
      <c r="B4">
        <v>1</v>
      </c>
    </row>
    <row r="5" spans="1:2" x14ac:dyDescent="0.2">
      <c r="A5" s="5" t="s">
        <v>40</v>
      </c>
      <c r="B5">
        <v>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BD953-897C-F949-A302-E0C0A470B0A7}">
  <dimension ref="A1:B4"/>
  <sheetViews>
    <sheetView workbookViewId="0">
      <selection activeCell="A41" sqref="A41"/>
    </sheetView>
  </sheetViews>
  <sheetFormatPr baseColWidth="10" defaultRowHeight="15" x14ac:dyDescent="0.2"/>
  <cols>
    <col min="1" max="1" width="24.5" bestFit="1" customWidth="1"/>
    <col min="2" max="2" width="12.5" bestFit="1" customWidth="1"/>
  </cols>
  <sheetData>
    <row r="1" spans="1:2" x14ac:dyDescent="0.2">
      <c r="A1" s="4" t="s">
        <v>39</v>
      </c>
      <c r="B1" t="s">
        <v>41</v>
      </c>
    </row>
    <row r="2" spans="1:2" x14ac:dyDescent="0.2">
      <c r="A2" s="5" t="s">
        <v>30</v>
      </c>
      <c r="B2">
        <v>3</v>
      </c>
    </row>
    <row r="3" spans="1:2" x14ac:dyDescent="0.2">
      <c r="A3" s="5" t="s">
        <v>18</v>
      </c>
      <c r="B3">
        <v>2</v>
      </c>
    </row>
    <row r="4" spans="1:2" x14ac:dyDescent="0.2">
      <c r="A4" s="5" t="s">
        <v>40</v>
      </c>
      <c r="B4">
        <v>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 Results</vt:lpstr>
      <vt:lpstr>What Customers Enjoyed Most</vt:lpstr>
      <vt:lpstr>Preferred Loyalty Program Rewar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Will Poindexter</cp:lastModifiedBy>
  <cp:revision/>
  <dcterms:created xsi:type="dcterms:W3CDTF">2026-04-13T16:47:38Z</dcterms:created>
  <dcterms:modified xsi:type="dcterms:W3CDTF">2026-04-13T17:11:53Z</dcterms:modified>
  <cp:category/>
  <cp:contentStatus/>
</cp:coreProperties>
</file>
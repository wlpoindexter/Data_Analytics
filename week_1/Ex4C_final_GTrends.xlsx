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will/Downloads/"/>
    </mc:Choice>
  </mc:AlternateContent>
  <xr:revisionPtr revIDLastSave="0" documentId="8_{F3E7F6F3-051C-754A-BB3E-99E3682B5729}" xr6:coauthVersionLast="47" xr6:coauthVersionMax="47" xr10:uidLastSave="{00000000-0000-0000-0000-000000000000}"/>
  <bookViews>
    <workbookView xWindow="29400" yWindow="2520" windowWidth="22040" windowHeight="14840" activeTab="2" xr2:uid="{9CB94C89-F7A9-CE42-92B8-B8986A7C1049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26" r:id="rId4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<sst xmlns="http://schemas.openxmlformats.org/spreadsheetml/2006/main" count="175" uniqueCount="73">
  <si>
    <t>Region</t>
  </si>
  <si>
    <t>South Carolina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</si>
  <si>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</si>
  <si>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</si>
  <si>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</si>
  <si>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</si>
  <si>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</si>
  <si>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</si>
  <si>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</si>
  <si>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</si>
  <si>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North Carolina</t>
  </si>
  <si>
    <t>West Virginia</t>
  </si>
  <si>
    <t>Ohio</t>
  </si>
  <si>
    <t>Pennsylvania</t>
  </si>
  <si>
    <t>Texas</t>
  </si>
  <si>
    <t>Arkansas</t>
  </si>
  <si>
    <t>Nevada</t>
  </si>
  <si>
    <t>Idaho</t>
  </si>
  <si>
    <t>Virginia</t>
  </si>
  <si>
    <t>Connecticut</t>
  </si>
  <si>
    <t>Delaware</t>
  </si>
  <si>
    <t>Mississippi</t>
  </si>
  <si>
    <t>Michigan</t>
  </si>
  <si>
    <t>Missouri</t>
  </si>
  <si>
    <t>Florida</t>
  </si>
  <si>
    <t>Kansas</t>
  </si>
  <si>
    <t>New Jersey</t>
  </si>
  <si>
    <t>Rhode Island</t>
  </si>
  <si>
    <t>Oklahoma</t>
  </si>
  <si>
    <t>Wisconsin</t>
  </si>
  <si>
    <t>Minnesota</t>
  </si>
  <si>
    <t>Louisiana</t>
  </si>
  <si>
    <t>Arizona</t>
  </si>
  <si>
    <t>Iowa</t>
  </si>
  <si>
    <t>California</t>
  </si>
  <si>
    <t>North Dakota</t>
  </si>
  <si>
    <t>New York</t>
  </si>
  <si>
    <t>Nebraska</t>
  </si>
  <si>
    <t>New Mexico</t>
  </si>
  <si>
    <t>Oregon</t>
  </si>
  <si>
    <t>Massachusetts</t>
  </si>
  <si>
    <t>Washington</t>
  </si>
  <si>
    <t>New Hampshire</t>
  </si>
  <si>
    <t>Colorado</t>
  </si>
  <si>
    <t>South Dakota</t>
  </si>
  <si>
    <t>Maine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</si>
  <si>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</si>
  <si>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</si>
  <si>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</si>
  <si>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</si>
  <si>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</si>
  <si>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</si>
  <si>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</si>
  <si>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Date Range</t>
  </si>
  <si>
    <t>Hamburger: ()</t>
  </si>
  <si>
    <t>Milkshake: ()</t>
  </si>
  <si>
    <t>Breakup: ()</t>
  </si>
  <si>
    <t>Region ID</t>
  </si>
  <si>
    <t>5a. Freezing panes allows you to keep headers and labels visible while scrolling through large datasets, making it easier to compare and analyze data across many rows and columns.</t>
  </si>
  <si>
    <t>State</t>
  </si>
  <si>
    <t>Sales Region</t>
  </si>
  <si>
    <t>Hamburger</t>
  </si>
  <si>
    <t>Milkshake</t>
  </si>
  <si>
    <t>Northwest</t>
  </si>
  <si>
    <t>North Central</t>
  </si>
  <si>
    <t>Sum of Hamburger</t>
  </si>
  <si>
    <t>Sum of Milkshake</t>
  </si>
  <si>
    <t>(All)</t>
  </si>
  <si>
    <t>Column Labels</t>
  </si>
  <si>
    <t>Row Labels</t>
  </si>
  <si>
    <t>Grand Total</t>
  </si>
  <si>
    <t>Total Sum of Milkshake</t>
  </si>
  <si>
    <t>Total Sum of Hamburger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</si>
</sst>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3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0" borderId="0" xfId="0" applyFont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[Ex4C_final_GTrends.xlsx]sales region lookup!PivotTable8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lookup'!$B$20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lookup'!$A$21:$A$31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lookup'!$B$21:$B$31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B-E749-A57B-58E908E45E55}"/>
            </c:ext>
          </c:extLst>
        </c:ser>
        <c:ser>
          <c:idx val="1"/>
          <c:order val="1"/>
          <c:tx>
            <c:strRef>
              <c:f>'sales region lookup'!$C$20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lookup'!$A$21:$A$31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lookup'!$C$21:$C$31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0.15</c:v>
                </c:pt>
                <c:pt idx="4">
                  <c:v>0.18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FB-E749-A57B-58E908E45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7667519"/>
        <c:axId val="697678719"/>
      </c:barChart>
      <c:catAx>
        <c:axId val="69766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78719"/>
        <c:crosses val="autoZero"/>
        <c:auto val="1"/>
        <c:lblAlgn val="ctr"/>
        <c:lblOffset val="100"/>
        <c:noMultiLvlLbl val="0"/>
      </c:catAx>
      <c:valAx>
        <c:axId val="69767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66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26</xdr:row>
      <xdr:rowOff>76200</xdr:rowOff>
    </xdr:from>
    <xdr:to>
      <xdr:col>8</xdr:col>
      <xdr:colOff>603250</xdr:colOff>
      <xdr:row>39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563A4-405F-739C-E2EB-4894058BAD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 Poindexter" refreshedDate="46122.685407407407" createdVersion="8" refreshedVersion="8" minRefreshableVersion="3" recordCount="10" xr:uid="{7FD0B798-75E2-6345-A222-6B8F69477CEB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8"/>
  </r>
  <r>
    <x v="2"/>
    <x v="0"/>
    <n v="0.67"/>
    <n v="0.2"/>
  </r>
  <r>
    <x v="3"/>
    <x v="0"/>
    <n v="0.73"/>
    <n v="0.15"/>
  </r>
  <r>
    <x v="4"/>
    <x v="1"/>
    <n v="0.69"/>
    <n v="0.19"/>
  </r>
  <r>
    <x v="5"/>
    <x v="1"/>
    <n v="0.75"/>
    <n v="0.14000000000000001"/>
  </r>
  <r>
    <x v="6"/>
    <x v="1"/>
    <n v="0.7"/>
    <n v="0.18"/>
  </r>
  <r>
    <x v="7"/>
    <x v="1"/>
    <n v="0.68"/>
    <n v="0.19"/>
  </r>
  <r>
    <x v="8"/>
    <x v="1"/>
    <n v="0.66"/>
    <n v="0.2"/>
  </r>
  <r>
    <x v="9"/>
    <x v="1"/>
    <n v="0.67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7BA3A-225F-F241-B3DE-E2C0E07D6FB7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C31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3739D-AC18-7C4B-8C41-2F0E876BE181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2:M25" firstHeaderRow="1" firstDataRow="3" firstDataCol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Col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Milkshake" fld="3" baseField="0" baseItem="0" numFmtId="9"/>
    <dataField name="Sum of Hamburger" fld="2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D816-421C-BA46-B214-2901B96666D2}">
  <dimension ref="A1:K52"/>
  <sheetViews>
    <sheetView zoomScaleNormal="100" workbookViewId="0">
      <pane ySplit="1" topLeftCell="A23" activePane="bottomLeft" state="frozen"/>
      <selection pane="bottomLeft" activeCell="B1" sqref="B1:E52"/>
    </sheetView>
  </sheetViews>
  <sheetFormatPr baseColWidth="10" defaultRowHeight="16" x14ac:dyDescent="0.2"/>
  <cols>
    <col min="3" max="3" width="14.83203125" bestFit="1" customWidth="1"/>
    <col min="4" max="4" width="13.83203125" bestFit="1" customWidth="1"/>
    <col min="5" max="5" width="12.5" bestFit="1" customWidth="1"/>
    <col min="11" max="11" width="14.1640625" bestFit="1" customWidth="1"/>
  </cols>
  <sheetData>
    <row r="1" spans="1:11" x14ac:dyDescent="0.2">
      <c r="A1" t="s">
        <v>57</v>
      </c>
      <c r="B1" t="s">
        <v>0</v>
      </c>
      <c r="C1" t="s">
        <v>54</v>
      </c>
      <c r="D1" t="s">
        <v>55</v>
      </c>
      <c r="E1" t="s">
        <v>56</v>
      </c>
      <c r="G1" s="2" t="s">
        <v>52</v>
      </c>
      <c r="H1" s="2">
        <f>COUNTA(B2:B52)</f>
        <v>51</v>
      </c>
      <c r="J1" s="3" t="s">
        <v>53</v>
      </c>
      <c r="K1" s="3"/>
    </row>
    <row r="2" spans="1:11" x14ac:dyDescent="0.2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2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">
      <c r="A4">
        <v>3</v>
      </c>
      <c r="B4" t="s">
        <v>32</v>
      </c>
      <c r="C4" s="1">
        <v>0.67</v>
      </c>
      <c r="D4" s="1">
        <v>0.19</v>
      </c>
      <c r="E4" s="1">
        <v>0.14000000000000001</v>
      </c>
    </row>
    <row r="5" spans="1:11" x14ac:dyDescent="0.2">
      <c r="A5">
        <v>4</v>
      </c>
      <c r="B5" t="s">
        <v>15</v>
      </c>
      <c r="C5" s="1">
        <v>0.66</v>
      </c>
      <c r="D5" s="1">
        <v>0.21</v>
      </c>
      <c r="E5" s="1">
        <v>0.13</v>
      </c>
    </row>
    <row r="6" spans="1:11" x14ac:dyDescent="0.2">
      <c r="A6">
        <v>5</v>
      </c>
      <c r="B6" t="s">
        <v>34</v>
      </c>
      <c r="C6" s="1">
        <v>0.63</v>
      </c>
      <c r="D6" s="1">
        <v>0.21</v>
      </c>
      <c r="E6" s="1">
        <v>0.16</v>
      </c>
    </row>
    <row r="7" spans="1:11" x14ac:dyDescent="0.2">
      <c r="A7">
        <v>6</v>
      </c>
      <c r="B7" t="s">
        <v>43</v>
      </c>
      <c r="C7" s="1">
        <v>0.68</v>
      </c>
      <c r="D7" s="1">
        <v>0.17</v>
      </c>
      <c r="E7" s="1">
        <v>0.15</v>
      </c>
    </row>
    <row r="8" spans="1:11" x14ac:dyDescent="0.2">
      <c r="A8">
        <v>7</v>
      </c>
      <c r="B8" t="s">
        <v>19</v>
      </c>
      <c r="C8" s="1">
        <v>0.64</v>
      </c>
      <c r="D8" s="1">
        <v>0.22</v>
      </c>
      <c r="E8" s="1">
        <v>0.14000000000000001</v>
      </c>
    </row>
    <row r="9" spans="1:11" x14ac:dyDescent="0.2">
      <c r="A9">
        <v>8</v>
      </c>
      <c r="B9" t="s">
        <v>20</v>
      </c>
      <c r="C9" s="1">
        <v>0.64</v>
      </c>
      <c r="D9" s="1">
        <v>0.23</v>
      </c>
      <c r="E9" s="1">
        <v>0.13</v>
      </c>
    </row>
    <row r="10" spans="1:11" x14ac:dyDescent="0.2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2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2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2">
      <c r="A13">
        <v>12</v>
      </c>
      <c r="B13" t="s">
        <v>49</v>
      </c>
      <c r="C13" s="1">
        <v>0.73</v>
      </c>
      <c r="D13" s="1">
        <v>0.14000000000000001</v>
      </c>
      <c r="E13" s="1">
        <v>0.13</v>
      </c>
    </row>
    <row r="14" spans="1:11" x14ac:dyDescent="0.2">
      <c r="A14">
        <v>13</v>
      </c>
      <c r="B14" t="s">
        <v>17</v>
      </c>
      <c r="C14" s="1">
        <v>0.67</v>
      </c>
      <c r="D14" s="1">
        <v>0.2</v>
      </c>
      <c r="E14" s="1">
        <v>0.13</v>
      </c>
    </row>
    <row r="15" spans="1:11" x14ac:dyDescent="0.2">
      <c r="A15">
        <v>14</v>
      </c>
      <c r="B15" t="s">
        <v>9</v>
      </c>
      <c r="C15" s="1">
        <v>0.63</v>
      </c>
      <c r="D15" s="1">
        <v>0.23</v>
      </c>
      <c r="E15" s="1">
        <v>0.14000000000000001</v>
      </c>
    </row>
    <row r="16" spans="1:11" x14ac:dyDescent="0.2">
      <c r="A16">
        <v>15</v>
      </c>
      <c r="B16" t="s">
        <v>5</v>
      </c>
      <c r="C16" s="1">
        <v>0.62</v>
      </c>
      <c r="D16" s="1">
        <v>0.24</v>
      </c>
      <c r="E16" s="1">
        <v>0.14000000000000001</v>
      </c>
    </row>
    <row r="17" spans="1:5" x14ac:dyDescent="0.2">
      <c r="A17">
        <v>16</v>
      </c>
      <c r="B17" t="s">
        <v>33</v>
      </c>
      <c r="C17" s="1">
        <v>0.68</v>
      </c>
      <c r="D17" s="1">
        <v>0.19</v>
      </c>
      <c r="E17" s="1">
        <v>0.13</v>
      </c>
    </row>
    <row r="18" spans="1:5" x14ac:dyDescent="0.2">
      <c r="A18">
        <v>17</v>
      </c>
      <c r="B18" t="s">
        <v>25</v>
      </c>
      <c r="C18" s="1">
        <v>0.66</v>
      </c>
      <c r="D18" s="1">
        <v>0.2</v>
      </c>
      <c r="E18" s="1">
        <v>0.14000000000000001</v>
      </c>
    </row>
    <row r="19" spans="1:5" x14ac:dyDescent="0.2">
      <c r="A19">
        <v>18</v>
      </c>
      <c r="B19" t="s">
        <v>3</v>
      </c>
      <c r="C19" s="1">
        <v>0.63</v>
      </c>
      <c r="D19" s="1">
        <v>0.23</v>
      </c>
      <c r="E19" s="1">
        <v>0.14000000000000001</v>
      </c>
    </row>
    <row r="20" spans="1:5" x14ac:dyDescent="0.2">
      <c r="A20">
        <v>19</v>
      </c>
      <c r="B20" t="s">
        <v>31</v>
      </c>
      <c r="C20" s="1">
        <v>0.66</v>
      </c>
      <c r="D20" s="1">
        <v>0.21</v>
      </c>
      <c r="E20" s="1">
        <v>0.13</v>
      </c>
    </row>
    <row r="21" spans="1:5" x14ac:dyDescent="0.2">
      <c r="A21">
        <v>20</v>
      </c>
      <c r="B21" t="s">
        <v>45</v>
      </c>
      <c r="C21" s="1">
        <v>0.68</v>
      </c>
      <c r="D21" s="1">
        <v>0.19</v>
      </c>
      <c r="E21" s="1">
        <v>0.13</v>
      </c>
    </row>
    <row r="22" spans="1:5" x14ac:dyDescent="0.2">
      <c r="A22">
        <v>21</v>
      </c>
      <c r="B22" t="s">
        <v>8</v>
      </c>
      <c r="C22" s="1">
        <v>0.6</v>
      </c>
      <c r="D22" s="1">
        <v>0.25</v>
      </c>
      <c r="E22" s="1">
        <v>0.15</v>
      </c>
    </row>
    <row r="23" spans="1:5" x14ac:dyDescent="0.2">
      <c r="A23">
        <v>22</v>
      </c>
      <c r="B23" t="s">
        <v>40</v>
      </c>
      <c r="C23" s="1">
        <v>0.62</v>
      </c>
      <c r="D23" s="1">
        <v>0.21</v>
      </c>
      <c r="E23" s="1">
        <v>0.17</v>
      </c>
    </row>
    <row r="24" spans="1:5" x14ac:dyDescent="0.2">
      <c r="A24">
        <v>23</v>
      </c>
      <c r="B24" t="s">
        <v>22</v>
      </c>
      <c r="C24" s="1">
        <v>0.67</v>
      </c>
      <c r="D24" s="1">
        <v>0.21</v>
      </c>
      <c r="E24" s="1">
        <v>0.12</v>
      </c>
    </row>
    <row r="25" spans="1:5" x14ac:dyDescent="0.2">
      <c r="A25">
        <v>24</v>
      </c>
      <c r="B25" t="s">
        <v>30</v>
      </c>
      <c r="C25" s="1">
        <v>0.68</v>
      </c>
      <c r="D25" s="1">
        <v>0.19</v>
      </c>
      <c r="E25" s="1">
        <v>0.13</v>
      </c>
    </row>
    <row r="26" spans="1:5" x14ac:dyDescent="0.2">
      <c r="A26">
        <v>25</v>
      </c>
      <c r="B26" t="s">
        <v>21</v>
      </c>
      <c r="C26" s="1">
        <v>0.67</v>
      </c>
      <c r="D26" s="1">
        <v>0.21</v>
      </c>
      <c r="E26" s="1">
        <v>0.12</v>
      </c>
    </row>
    <row r="27" spans="1:5" x14ac:dyDescent="0.2">
      <c r="A27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 x14ac:dyDescent="0.2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2">
      <c r="A29">
        <v>28</v>
      </c>
      <c r="B29" t="s">
        <v>37</v>
      </c>
      <c r="C29" s="1">
        <v>0.7</v>
      </c>
      <c r="D29" s="1">
        <v>0.18</v>
      </c>
      <c r="E29" s="1">
        <v>0.12</v>
      </c>
    </row>
    <row r="30" spans="1:5" x14ac:dyDescent="0.2">
      <c r="A30">
        <v>29</v>
      </c>
      <c r="B30" t="s">
        <v>16</v>
      </c>
      <c r="C30" s="1">
        <v>0.67</v>
      </c>
      <c r="D30" s="1">
        <v>0.2</v>
      </c>
      <c r="E30" s="1">
        <v>0.13</v>
      </c>
    </row>
    <row r="31" spans="1:5" x14ac:dyDescent="0.2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2">
      <c r="A32">
        <v>31</v>
      </c>
      <c r="B32" t="s">
        <v>26</v>
      </c>
      <c r="C32" s="1">
        <v>0.63</v>
      </c>
      <c r="D32" s="1">
        <v>0.21</v>
      </c>
      <c r="E32" s="1">
        <v>0.16</v>
      </c>
    </row>
    <row r="33" spans="1:5" x14ac:dyDescent="0.2">
      <c r="A33">
        <v>32</v>
      </c>
      <c r="B33" t="s">
        <v>38</v>
      </c>
      <c r="C33" s="1">
        <v>0.67</v>
      </c>
      <c r="D33" s="1">
        <v>0.19</v>
      </c>
      <c r="E33" s="1">
        <v>0.14000000000000001</v>
      </c>
    </row>
    <row r="34" spans="1:5" x14ac:dyDescent="0.2">
      <c r="A34">
        <v>33</v>
      </c>
      <c r="B34" t="s">
        <v>36</v>
      </c>
      <c r="C34" s="1">
        <v>0.63</v>
      </c>
      <c r="D34" s="1">
        <v>0.21</v>
      </c>
      <c r="E34" s="1">
        <v>0.16</v>
      </c>
    </row>
    <row r="35" spans="1:5" x14ac:dyDescent="0.2">
      <c r="A35">
        <v>34</v>
      </c>
      <c r="B35" t="s">
        <v>10</v>
      </c>
      <c r="C35" s="1">
        <v>0.66</v>
      </c>
      <c r="D35" s="1">
        <v>0.22</v>
      </c>
      <c r="E35" s="1">
        <v>0.12</v>
      </c>
    </row>
    <row r="36" spans="1:5" x14ac:dyDescent="0.2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2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 x14ac:dyDescent="0.2">
      <c r="A38">
        <v>37</v>
      </c>
      <c r="B38" t="s">
        <v>28</v>
      </c>
      <c r="C38" s="1">
        <v>0.71</v>
      </c>
      <c r="D38" s="1">
        <v>0.18</v>
      </c>
      <c r="E38" s="1">
        <v>0.11</v>
      </c>
    </row>
    <row r="39" spans="1:5" x14ac:dyDescent="0.2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2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2">
      <c r="A41">
        <v>40</v>
      </c>
      <c r="B41" t="s">
        <v>27</v>
      </c>
      <c r="C41" s="1">
        <v>0.63</v>
      </c>
      <c r="D41" s="1">
        <v>0.23</v>
      </c>
      <c r="E41" s="1">
        <v>0.14000000000000001</v>
      </c>
    </row>
    <row r="42" spans="1:5" x14ac:dyDescent="0.2">
      <c r="A42">
        <v>41</v>
      </c>
      <c r="B42" t="s">
        <v>1</v>
      </c>
      <c r="C42" s="1">
        <v>0.66</v>
      </c>
      <c r="D42" s="1">
        <v>0.22</v>
      </c>
      <c r="E42" s="1">
        <v>0.12</v>
      </c>
    </row>
    <row r="43" spans="1:5" x14ac:dyDescent="0.2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2">
      <c r="A45">
        <v>44</v>
      </c>
      <c r="B45" t="s">
        <v>14</v>
      </c>
      <c r="C45" s="1">
        <v>0.67</v>
      </c>
      <c r="D45" s="1">
        <v>0.2</v>
      </c>
      <c r="E45" s="1">
        <v>0.13</v>
      </c>
    </row>
    <row r="46" spans="1:5" x14ac:dyDescent="0.2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2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2">
      <c r="A48">
        <v>47</v>
      </c>
      <c r="B48" t="s">
        <v>18</v>
      </c>
      <c r="C48" s="1">
        <v>0.63</v>
      </c>
      <c r="D48" s="1">
        <v>0.23</v>
      </c>
      <c r="E48" s="1">
        <v>0.14000000000000001</v>
      </c>
    </row>
    <row r="49" spans="1:5" x14ac:dyDescent="0.2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2">
      <c r="A50">
        <v>49</v>
      </c>
      <c r="B50" t="s">
        <v>11</v>
      </c>
      <c r="C50" s="1">
        <v>0.65</v>
      </c>
      <c r="D50" s="1">
        <v>0.23</v>
      </c>
      <c r="E50" s="1">
        <v>0.12</v>
      </c>
    </row>
    <row r="51" spans="1:5" x14ac:dyDescent="0.2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2">
      <c r="A52">
        <v>51</v>
      </c>
      <c r="B52" t="s">
        <v>46</v>
      </c>
      <c r="C52" s="1">
        <v>0.69</v>
      </c>
      <c r="D52" s="1">
        <v>0.17</v>
      </c>
      <c r="E52" s="1">
        <v>0.14000000000000001</v>
      </c>
    </row>
  </sheetData>
  <autoFilter ref="A1:E52" xr:uid="{1D94D816-421C-BA46-B214-2901B96666D2}"/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76B2-6182-B248-86C9-2BEB43FC1805}">
  <dimension ref="A1:AZ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baseColWidth="10" defaultRowHeight="16" x14ac:dyDescent="0.2"/>
  <sheetData>
    <row r="1" spans="1:52" x14ac:dyDescent="0.2">
      <c r="A1" t="s">
        <v>0</v>
      </c>
      <c r="B1" t="s">
        <v>2</v>
      </c>
      <c r="C1" t="s">
        <v>50</v>
      </c>
      <c r="D1" t="s">
        <v>32</v>
      </c>
      <c r="E1" t="s">
        <v>15</v>
      </c>
      <c r="F1" t="s">
        <v>34</v>
      </c>
      <c r="G1" t="s">
        <v>43</v>
      </c>
      <c r="H1" t="s">
        <v>19</v>
      </c>
      <c r="I1" t="s">
        <v>20</v>
      </c>
      <c r="J1" t="s">
        <v>51</v>
      </c>
      <c r="K1" t="s">
        <v>24</v>
      </c>
      <c r="L1" t="s">
        <v>7</v>
      </c>
      <c r="M1" t="s">
        <v>49</v>
      </c>
      <c r="N1" t="s">
        <v>17</v>
      </c>
      <c r="O1" t="s">
        <v>9</v>
      </c>
      <c r="P1" t="s">
        <v>5</v>
      </c>
      <c r="Q1" t="s">
        <v>33</v>
      </c>
      <c r="R1" t="s">
        <v>25</v>
      </c>
      <c r="S1" t="s">
        <v>3</v>
      </c>
      <c r="T1" t="s">
        <v>31</v>
      </c>
      <c r="U1" t="s">
        <v>45</v>
      </c>
      <c r="V1" t="s">
        <v>8</v>
      </c>
      <c r="W1" t="s">
        <v>40</v>
      </c>
      <c r="X1" t="s">
        <v>22</v>
      </c>
      <c r="Y1" t="s">
        <v>30</v>
      </c>
      <c r="Z1" t="s">
        <v>21</v>
      </c>
      <c r="AA1" t="s">
        <v>23</v>
      </c>
      <c r="AB1" t="s">
        <v>48</v>
      </c>
      <c r="AC1" t="s">
        <v>37</v>
      </c>
      <c r="AD1" t="s">
        <v>16</v>
      </c>
      <c r="AE1" t="s">
        <v>42</v>
      </c>
      <c r="AF1" t="s">
        <v>26</v>
      </c>
      <c r="AG1" t="s">
        <v>38</v>
      </c>
      <c r="AH1" t="s">
        <v>36</v>
      </c>
      <c r="AI1" t="s">
        <v>10</v>
      </c>
      <c r="AJ1" t="s">
        <v>35</v>
      </c>
      <c r="AK1" t="s">
        <v>12</v>
      </c>
      <c r="AL1" t="s">
        <v>28</v>
      </c>
      <c r="AM1" t="s">
        <v>39</v>
      </c>
      <c r="AN1" t="s">
        <v>13</v>
      </c>
      <c r="AO1" t="s">
        <v>27</v>
      </c>
      <c r="AP1" t="s">
        <v>1</v>
      </c>
      <c r="AQ1" t="s">
        <v>44</v>
      </c>
      <c r="AR1" t="s">
        <v>4</v>
      </c>
      <c r="AS1" t="s">
        <v>14</v>
      </c>
      <c r="AT1" t="s">
        <v>6</v>
      </c>
      <c r="AU1" t="s">
        <v>47</v>
      </c>
      <c r="AV1" t="s">
        <v>18</v>
      </c>
      <c r="AW1" t="s">
        <v>41</v>
      </c>
      <c r="AX1" t="s">
        <v>11</v>
      </c>
      <c r="AY1" t="s">
        <v>29</v>
      </c>
      <c r="AZ1" t="s">
        <v>46</v>
      </c>
    </row>
    <row r="2" spans="1:52" x14ac:dyDescent="0.2">
      <c r="A2" t="s">
        <v>54</v>
      </c>
      <c r="B2" s="1">
        <v>0.64</v>
      </c>
      <c r="C2" s="1">
        <v>0.72</v>
      </c>
      <c r="D2" s="1">
        <v>0.67</v>
      </c>
      <c r="E2" s="1">
        <v>0.66</v>
      </c>
      <c r="F2" s="1">
        <v>0.63</v>
      </c>
      <c r="G2" s="1">
        <v>0.68</v>
      </c>
      <c r="H2" s="1">
        <v>0.64</v>
      </c>
      <c r="I2" s="1">
        <v>0.64</v>
      </c>
      <c r="J2" s="1">
        <v>0.66</v>
      </c>
      <c r="K2" s="1">
        <v>0.63</v>
      </c>
      <c r="L2" s="1">
        <v>0.62</v>
      </c>
      <c r="M2" s="1">
        <v>0.73</v>
      </c>
      <c r="N2" s="1">
        <v>0.67</v>
      </c>
      <c r="O2" s="1">
        <v>0.63</v>
      </c>
      <c r="P2" s="1">
        <v>0.62</v>
      </c>
      <c r="Q2" s="1">
        <v>0.68</v>
      </c>
      <c r="R2" s="1">
        <v>0.66</v>
      </c>
      <c r="S2" s="1">
        <v>0.63</v>
      </c>
      <c r="T2" s="1">
        <v>0.66</v>
      </c>
      <c r="U2" s="1">
        <v>0.68</v>
      </c>
      <c r="V2" s="1">
        <v>0.6</v>
      </c>
      <c r="W2" s="1">
        <v>0.62</v>
      </c>
      <c r="X2" s="1">
        <v>0.67</v>
      </c>
      <c r="Y2" s="1">
        <v>0.68</v>
      </c>
      <c r="Z2" s="1">
        <v>0.67</v>
      </c>
      <c r="AA2" s="1">
        <v>0.68</v>
      </c>
      <c r="AB2" s="1">
        <v>0.73</v>
      </c>
      <c r="AC2" s="1">
        <v>0.7</v>
      </c>
      <c r="AD2" s="1">
        <v>0.67</v>
      </c>
      <c r="AE2" s="1">
        <v>0.67</v>
      </c>
      <c r="AF2" s="1">
        <v>0.63</v>
      </c>
      <c r="AG2" s="1">
        <v>0.67</v>
      </c>
      <c r="AH2" s="1">
        <v>0.63</v>
      </c>
      <c r="AI2" s="1">
        <v>0.66</v>
      </c>
      <c r="AJ2" s="1">
        <v>0.69</v>
      </c>
      <c r="AK2" s="1">
        <v>0.65</v>
      </c>
      <c r="AL2" s="1">
        <v>0.71</v>
      </c>
      <c r="AM2" s="1">
        <v>0.69</v>
      </c>
      <c r="AN2" s="1">
        <v>0.62</v>
      </c>
      <c r="AO2" s="1">
        <v>0.63</v>
      </c>
      <c r="AP2" s="1">
        <v>0.66</v>
      </c>
      <c r="AQ2" s="1">
        <v>0.75</v>
      </c>
      <c r="AR2" s="1">
        <v>0.65</v>
      </c>
      <c r="AS2" s="1">
        <v>0.67</v>
      </c>
      <c r="AT2" s="1">
        <v>0.66</v>
      </c>
      <c r="AU2" s="1">
        <v>0.7</v>
      </c>
      <c r="AV2" s="1">
        <v>0.63</v>
      </c>
      <c r="AW2" s="1">
        <v>0.68</v>
      </c>
      <c r="AX2" s="1">
        <v>0.65</v>
      </c>
      <c r="AY2" s="1">
        <v>0.66</v>
      </c>
      <c r="AZ2" s="1">
        <v>0.69</v>
      </c>
    </row>
    <row r="3" spans="1:52" x14ac:dyDescent="0.2">
      <c r="A3" t="s">
        <v>55</v>
      </c>
      <c r="B3" s="1">
        <v>0.24</v>
      </c>
      <c r="C3" s="1">
        <v>0.15</v>
      </c>
      <c r="D3" s="1">
        <v>0.19</v>
      </c>
      <c r="E3" s="1">
        <v>0.21</v>
      </c>
      <c r="F3" s="1">
        <v>0.21</v>
      </c>
      <c r="G3" s="1">
        <v>0.17</v>
      </c>
      <c r="H3" s="1">
        <v>0.22</v>
      </c>
      <c r="I3" s="1">
        <v>0.23</v>
      </c>
      <c r="J3" s="1">
        <v>0.17</v>
      </c>
      <c r="K3" s="1">
        <v>0.23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0.2</v>
      </c>
      <c r="S3" s="1">
        <v>0.23</v>
      </c>
      <c r="T3" s="1">
        <v>0.21</v>
      </c>
      <c r="U3" s="1">
        <v>0.19</v>
      </c>
      <c r="V3" s="1">
        <v>0.25</v>
      </c>
      <c r="W3" s="1">
        <v>0.21</v>
      </c>
      <c r="X3" s="1">
        <v>0.21</v>
      </c>
      <c r="Y3" s="1">
        <v>0.19</v>
      </c>
      <c r="Z3" s="1">
        <v>0.21</v>
      </c>
      <c r="AA3" s="1">
        <v>0.19</v>
      </c>
      <c r="AB3" s="1">
        <v>0.15</v>
      </c>
      <c r="AC3" s="1">
        <v>0.18</v>
      </c>
      <c r="AD3" s="1">
        <v>0.2</v>
      </c>
      <c r="AE3" s="1">
        <v>0.2</v>
      </c>
      <c r="AF3" s="1">
        <v>0.21</v>
      </c>
      <c r="AG3" s="1">
        <v>0.19</v>
      </c>
      <c r="AH3" s="1">
        <v>0.21</v>
      </c>
      <c r="AI3" s="1">
        <v>0.22</v>
      </c>
      <c r="AJ3" s="1">
        <v>0.19</v>
      </c>
      <c r="AK3" s="1">
        <v>0.22</v>
      </c>
      <c r="AL3" s="1">
        <v>0.18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 x14ac:dyDescent="0.2">
      <c r="A4" t="s">
        <v>56</v>
      </c>
      <c r="B4" s="1">
        <v>0.12</v>
      </c>
      <c r="C4" s="1">
        <v>0.13</v>
      </c>
      <c r="D4" s="1">
        <v>0.14000000000000001</v>
      </c>
      <c r="E4" s="1">
        <v>0.13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0.12</v>
      </c>
      <c r="Y4" s="1">
        <v>0.13</v>
      </c>
      <c r="Z4" s="1">
        <v>0.12</v>
      </c>
      <c r="AA4" s="1">
        <v>0.13</v>
      </c>
      <c r="AB4" s="1">
        <v>0.12</v>
      </c>
      <c r="AC4" s="1">
        <v>0.12</v>
      </c>
      <c r="AD4" s="1">
        <v>0.13</v>
      </c>
      <c r="AE4" s="1">
        <v>0.13</v>
      </c>
      <c r="AF4" s="1">
        <v>0.16</v>
      </c>
      <c r="AG4" s="1">
        <v>0.14000000000000001</v>
      </c>
      <c r="AH4" s="1">
        <v>0.16</v>
      </c>
      <c r="AI4" s="1">
        <v>0.12</v>
      </c>
      <c r="AJ4" s="1">
        <v>0.12</v>
      </c>
      <c r="AK4" s="1">
        <v>0.13</v>
      </c>
      <c r="AL4" s="1">
        <v>0.11</v>
      </c>
      <c r="AM4" s="1">
        <v>0.13</v>
      </c>
      <c r="AN4" s="1">
        <v>0.15</v>
      </c>
      <c r="AO4" s="1">
        <v>0.14000000000000001</v>
      </c>
      <c r="AP4" s="1">
        <v>0.12</v>
      </c>
      <c r="AQ4" s="1">
        <v>0.11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0.14000000000000001</v>
      </c>
    </row>
    <row r="6" spans="1:52" x14ac:dyDescent="0.2">
      <c r="A6" t="s">
        <v>58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4D98-BA34-EA4B-9C76-3B4DA55BB22E}">
  <dimension ref="A1:M31"/>
  <sheetViews>
    <sheetView tabSelected="1" topLeftCell="A8" workbookViewId="0">
      <selection activeCell="A20" sqref="A20"/>
    </sheetView>
  </sheetViews>
  <sheetFormatPr baseColWidth="10" defaultRowHeight="16" x14ac:dyDescent="0.2"/>
  <cols>
    <col min="1" max="1" width="13" bestFit="1" customWidth="1"/>
    <col min="2" max="2" width="16.6640625" bestFit="1" customWidth="1"/>
    <col min="3" max="3" width="15.6640625" bestFit="1" customWidth="1"/>
    <col min="4" max="4" width="10.5" bestFit="1" customWidth="1"/>
    <col min="7" max="7" width="13" bestFit="1" customWidth="1"/>
    <col min="8" max="8" width="16" bestFit="1" customWidth="1"/>
    <col min="9" max="9" width="16.6640625" bestFit="1" customWidth="1"/>
    <col min="10" max="10" width="15.6640625" bestFit="1" customWidth="1"/>
    <col min="11" max="11" width="16.6640625" bestFit="1" customWidth="1"/>
    <col min="12" max="12" width="20.1640625" bestFit="1" customWidth="1"/>
    <col min="13" max="13" width="21" bestFit="1" customWidth="1"/>
  </cols>
  <sheetData>
    <row r="1" spans="1:13" x14ac:dyDescent="0.2">
      <c r="A1" t="s">
        <v>59</v>
      </c>
      <c r="B1" t="s">
        <v>60</v>
      </c>
      <c r="C1" t="s">
        <v>61</v>
      </c>
      <c r="D1" t="s">
        <v>62</v>
      </c>
    </row>
    <row r="2" spans="1:13" ht="17" x14ac:dyDescent="0.2">
      <c r="A2" s="4" t="s">
        <v>41</v>
      </c>
      <c r="B2" t="s">
        <v>63</v>
      </c>
      <c r="C2" s="5">
        <f>VLOOKUP(A2,'By search term'!B:C,2,FALSE)</f>
        <v>0.68</v>
      </c>
      <c r="D2" s="5">
        <f>_xlfn.XLOOKUP(A2,'By search term'!B1:B52,'By search term'!D1:D52,"not found")</f>
        <v>0.18</v>
      </c>
    </row>
    <row r="3" spans="1:13" x14ac:dyDescent="0.2">
      <c r="A3" t="s">
        <v>39</v>
      </c>
      <c r="B3" t="s">
        <v>63</v>
      </c>
      <c r="C3" s="5">
        <f>VLOOKUP(A3,'By search term'!B:C,2,FALSE)</f>
        <v>0.69</v>
      </c>
      <c r="D3" s="5">
        <f>_xlfn.XLOOKUP(A3,'By search term'!B2:B53,'By search term'!D2:D53,"not found")</f>
        <v>0.18</v>
      </c>
    </row>
    <row r="4" spans="1:13" x14ac:dyDescent="0.2">
      <c r="A4" t="s">
        <v>17</v>
      </c>
      <c r="B4" t="s">
        <v>63</v>
      </c>
      <c r="C4" s="5">
        <f>VLOOKUP(A4,'By search term'!B:C,2,FALSE)</f>
        <v>0.67</v>
      </c>
      <c r="D4" s="5">
        <f>_xlfn.XLOOKUP(A4,'By search term'!B3:B54,'By search term'!D3:D54,"not found")</f>
        <v>0.2</v>
      </c>
    </row>
    <row r="5" spans="1:13" x14ac:dyDescent="0.2">
      <c r="A5" t="s">
        <v>48</v>
      </c>
      <c r="B5" t="s">
        <v>63</v>
      </c>
      <c r="C5" s="5">
        <f>VLOOKUP(A5,'By search term'!B:C,2,FALSE)</f>
        <v>0.73</v>
      </c>
      <c r="D5" s="5">
        <f>_xlfn.XLOOKUP(A5,'By search term'!B4:B55,'By search term'!D4:D55,"not found")</f>
        <v>0.15</v>
      </c>
    </row>
    <row r="6" spans="1:13" x14ac:dyDescent="0.2">
      <c r="A6" t="s">
        <v>35</v>
      </c>
      <c r="B6" t="s">
        <v>64</v>
      </c>
      <c r="C6" s="5">
        <f>VLOOKUP(A6,'By search term'!B:C,2,FALSE)</f>
        <v>0.69</v>
      </c>
      <c r="D6" s="5">
        <f>_xlfn.XLOOKUP(A6,'By search term'!B5:B56,'By search term'!D5:D56,"not found")</f>
        <v>0.19</v>
      </c>
    </row>
    <row r="7" spans="1:13" x14ac:dyDescent="0.2">
      <c r="A7" t="s">
        <v>44</v>
      </c>
      <c r="B7" t="s">
        <v>64</v>
      </c>
      <c r="C7" s="5">
        <f>VLOOKUP(A7,'By search term'!B:C,2,FALSE)</f>
        <v>0.75</v>
      </c>
      <c r="D7" s="5">
        <f>_xlfn.XLOOKUP(A7,'By search term'!B6:B57,'By search term'!D6:D57,"not found")</f>
        <v>0.14000000000000001</v>
      </c>
    </row>
    <row r="8" spans="1:13" x14ac:dyDescent="0.2">
      <c r="A8" t="s">
        <v>37</v>
      </c>
      <c r="B8" t="s">
        <v>64</v>
      </c>
      <c r="C8" s="5">
        <f>VLOOKUP(A8,'By search term'!B:C,2,FALSE)</f>
        <v>0.7</v>
      </c>
      <c r="D8" s="5">
        <f>_xlfn.XLOOKUP(A8,'By search term'!B7:B58,'By search term'!D7:D58,"not found")</f>
        <v>0.18</v>
      </c>
    </row>
    <row r="9" spans="1:13" x14ac:dyDescent="0.2">
      <c r="A9" t="s">
        <v>30</v>
      </c>
      <c r="B9" t="s">
        <v>64</v>
      </c>
      <c r="C9" s="5">
        <f>VLOOKUP(A9,'By search term'!B:C,2,FALSE)</f>
        <v>0.68</v>
      </c>
      <c r="D9" s="5">
        <f>_xlfn.XLOOKUP(A9,'By search term'!B8:B59,'By search term'!D8:D59,"not found")</f>
        <v>0.19</v>
      </c>
    </row>
    <row r="10" spans="1:13" x14ac:dyDescent="0.2">
      <c r="A10" t="s">
        <v>29</v>
      </c>
      <c r="B10" t="s">
        <v>64</v>
      </c>
      <c r="C10" s="5">
        <f>VLOOKUP(A10,'By search term'!B:C,2,FALSE)</f>
        <v>0.66</v>
      </c>
      <c r="D10" s="5">
        <f>_xlfn.XLOOKUP(A10,'By search term'!B9:B60,'By search term'!D9:D60,"not found")</f>
        <v>0.2</v>
      </c>
    </row>
    <row r="11" spans="1:13" x14ac:dyDescent="0.2">
      <c r="A11" t="s">
        <v>22</v>
      </c>
      <c r="B11" t="s">
        <v>64</v>
      </c>
      <c r="C11" s="5">
        <f>VLOOKUP(A11,'By search term'!B:C,2,FALSE)</f>
        <v>0.67</v>
      </c>
      <c r="D11" s="5">
        <f>_xlfn.XLOOKUP(A11,'By search term'!B10:B61,'By search term'!D10:D61,"not found")</f>
        <v>0.21</v>
      </c>
    </row>
    <row r="12" spans="1:13" x14ac:dyDescent="0.2">
      <c r="H12" s="6" t="s">
        <v>68</v>
      </c>
    </row>
    <row r="13" spans="1:13" x14ac:dyDescent="0.2">
      <c r="H13" t="s">
        <v>64</v>
      </c>
      <c r="J13" t="s">
        <v>63</v>
      </c>
      <c r="L13" t="s">
        <v>71</v>
      </c>
      <c r="M13" t="s">
        <v>72</v>
      </c>
    </row>
    <row r="14" spans="1:13" x14ac:dyDescent="0.2">
      <c r="G14" s="6" t="s">
        <v>69</v>
      </c>
      <c r="H14" t="s">
        <v>66</v>
      </c>
      <c r="I14" t="s">
        <v>65</v>
      </c>
      <c r="J14" t="s">
        <v>66</v>
      </c>
      <c r="K14" t="s">
        <v>65</v>
      </c>
    </row>
    <row r="15" spans="1:13" x14ac:dyDescent="0.2">
      <c r="G15" s="7" t="s">
        <v>17</v>
      </c>
      <c r="H15" s="1"/>
      <c r="I15" s="1"/>
      <c r="J15" s="1">
        <v>0.2</v>
      </c>
      <c r="K15" s="1">
        <v>0.67</v>
      </c>
      <c r="L15" s="1">
        <v>0.2</v>
      </c>
      <c r="M15" s="1">
        <v>0.67</v>
      </c>
    </row>
    <row r="16" spans="1:13" x14ac:dyDescent="0.2">
      <c r="G16" s="7" t="s">
        <v>22</v>
      </c>
      <c r="H16" s="1">
        <v>0.21</v>
      </c>
      <c r="I16" s="1">
        <v>0.67</v>
      </c>
      <c r="J16" s="1"/>
      <c r="K16" s="1"/>
      <c r="L16" s="1">
        <v>0.21</v>
      </c>
      <c r="M16" s="1">
        <v>0.67</v>
      </c>
    </row>
    <row r="17" spans="1:13" x14ac:dyDescent="0.2">
      <c r="G17" s="7" t="s">
        <v>30</v>
      </c>
      <c r="H17" s="1">
        <v>0.19</v>
      </c>
      <c r="I17" s="1">
        <v>0.68</v>
      </c>
      <c r="J17" s="1"/>
      <c r="K17" s="1"/>
      <c r="L17" s="1">
        <v>0.19</v>
      </c>
      <c r="M17" s="1">
        <v>0.68</v>
      </c>
    </row>
    <row r="18" spans="1:13" x14ac:dyDescent="0.2">
      <c r="A18" s="6" t="s">
        <v>60</v>
      </c>
      <c r="B18" t="s">
        <v>67</v>
      </c>
      <c r="G18" s="7" t="s">
        <v>48</v>
      </c>
      <c r="H18" s="1"/>
      <c r="I18" s="1"/>
      <c r="J18" s="1">
        <v>0.15</v>
      </c>
      <c r="K18" s="1">
        <v>0.73</v>
      </c>
      <c r="L18" s="1">
        <v>0.15</v>
      </c>
      <c r="M18" s="1">
        <v>0.73</v>
      </c>
    </row>
    <row r="19" spans="1:13" x14ac:dyDescent="0.2">
      <c r="G19" s="7" t="s">
        <v>37</v>
      </c>
      <c r="H19" s="1">
        <v>0.18</v>
      </c>
      <c r="I19" s="1">
        <v>0.7</v>
      </c>
      <c r="J19" s="1"/>
      <c r="K19" s="1"/>
      <c r="L19" s="1">
        <v>0.18</v>
      </c>
      <c r="M19" s="1">
        <v>0.7</v>
      </c>
    </row>
    <row r="20" spans="1:13" x14ac:dyDescent="0.2">
      <c r="A20" s="6" t="s">
        <v>69</v>
      </c>
      <c r="B20" t="s">
        <v>65</v>
      </c>
      <c r="C20" t="s">
        <v>66</v>
      </c>
      <c r="G20" s="7" t="s">
        <v>35</v>
      </c>
      <c r="H20" s="1">
        <v>0.19</v>
      </c>
      <c r="I20" s="1">
        <v>0.69</v>
      </c>
      <c r="J20" s="1"/>
      <c r="K20" s="1"/>
      <c r="L20" s="1">
        <v>0.19</v>
      </c>
      <c r="M20" s="1">
        <v>0.69</v>
      </c>
    </row>
    <row r="21" spans="1:13" x14ac:dyDescent="0.2">
      <c r="A21" s="7" t="s">
        <v>17</v>
      </c>
      <c r="B21" s="1">
        <v>0.67</v>
      </c>
      <c r="C21" s="1">
        <v>0.2</v>
      </c>
      <c r="G21" s="7" t="s">
        <v>39</v>
      </c>
      <c r="H21" s="1"/>
      <c r="I21" s="1"/>
      <c r="J21" s="1">
        <v>0.18</v>
      </c>
      <c r="K21" s="1">
        <v>0.69</v>
      </c>
      <c r="L21" s="1">
        <v>0.18</v>
      </c>
      <c r="M21" s="1">
        <v>0.69</v>
      </c>
    </row>
    <row r="22" spans="1:13" x14ac:dyDescent="0.2">
      <c r="A22" s="7" t="s">
        <v>22</v>
      </c>
      <c r="B22" s="1">
        <v>0.67</v>
      </c>
      <c r="C22" s="1">
        <v>0.21</v>
      </c>
      <c r="G22" s="7" t="s">
        <v>44</v>
      </c>
      <c r="H22" s="1">
        <v>0.14000000000000001</v>
      </c>
      <c r="I22" s="1">
        <v>0.75</v>
      </c>
      <c r="J22" s="1"/>
      <c r="K22" s="1"/>
      <c r="L22" s="1">
        <v>0.14000000000000001</v>
      </c>
      <c r="M22" s="1">
        <v>0.75</v>
      </c>
    </row>
    <row r="23" spans="1:13" x14ac:dyDescent="0.2">
      <c r="A23" s="7" t="s">
        <v>30</v>
      </c>
      <c r="B23" s="1">
        <v>0.68</v>
      </c>
      <c r="C23" s="1">
        <v>0.19</v>
      </c>
      <c r="G23" s="7" t="s">
        <v>41</v>
      </c>
      <c r="H23" s="1"/>
      <c r="I23" s="1"/>
      <c r="J23" s="1">
        <v>0.18</v>
      </c>
      <c r="K23" s="1">
        <v>0.68</v>
      </c>
      <c r="L23" s="1">
        <v>0.18</v>
      </c>
      <c r="M23" s="1">
        <v>0.68</v>
      </c>
    </row>
    <row r="24" spans="1:13" x14ac:dyDescent="0.2">
      <c r="A24" s="7" t="s">
        <v>48</v>
      </c>
      <c r="B24" s="1">
        <v>0.73</v>
      </c>
      <c r="C24" s="1">
        <v>0.15</v>
      </c>
      <c r="G24" s="7" t="s">
        <v>29</v>
      </c>
      <c r="H24" s="1">
        <v>0.2</v>
      </c>
      <c r="I24" s="1">
        <v>0.66</v>
      </c>
      <c r="J24" s="1"/>
      <c r="K24" s="1"/>
      <c r="L24" s="1">
        <v>0.2</v>
      </c>
      <c r="M24" s="1">
        <v>0.66</v>
      </c>
    </row>
    <row r="25" spans="1:13" x14ac:dyDescent="0.2">
      <c r="A25" s="7" t="s">
        <v>37</v>
      </c>
      <c r="B25" s="1">
        <v>0.7</v>
      </c>
      <c r="C25" s="1">
        <v>0.18</v>
      </c>
      <c r="G25" s="7" t="s">
        <v>70</v>
      </c>
      <c r="H25" s="1">
        <v>1.1100000000000001</v>
      </c>
      <c r="I25" s="1">
        <v>4.1499999999999995</v>
      </c>
      <c r="J25" s="1">
        <v>0.71</v>
      </c>
      <c r="K25" s="1">
        <v>2.77</v>
      </c>
      <c r="L25" s="1">
        <v>1.8199999999999998</v>
      </c>
      <c r="M25" s="1">
        <v>6.92</v>
      </c>
    </row>
    <row r="26" spans="1:13" x14ac:dyDescent="0.2">
      <c r="A26" s="7" t="s">
        <v>35</v>
      </c>
      <c r="B26" s="1">
        <v>0.69</v>
      </c>
      <c r="C26" s="1">
        <v>0.19</v>
      </c>
    </row>
    <row r="27" spans="1:13" x14ac:dyDescent="0.2">
      <c r="A27" s="7" t="s">
        <v>39</v>
      </c>
      <c r="B27" s="1">
        <v>0.69</v>
      </c>
      <c r="C27" s="1">
        <v>0.18</v>
      </c>
    </row>
    <row r="28" spans="1:13" x14ac:dyDescent="0.2">
      <c r="A28" s="7" t="s">
        <v>44</v>
      </c>
      <c r="B28" s="1">
        <v>0.75</v>
      </c>
      <c r="C28" s="1">
        <v>0.14000000000000001</v>
      </c>
    </row>
    <row r="29" spans="1:13" x14ac:dyDescent="0.2">
      <c r="A29" s="7" t="s">
        <v>41</v>
      </c>
      <c r="B29" s="1">
        <v>0.68</v>
      </c>
      <c r="C29" s="1">
        <v>0.18</v>
      </c>
    </row>
    <row r="30" spans="1:13" x14ac:dyDescent="0.2">
      <c r="A30" s="7" t="s">
        <v>29</v>
      </c>
      <c r="B30" s="1">
        <v>0.66</v>
      </c>
      <c r="C30" s="1">
        <v>0.2</v>
      </c>
    </row>
    <row r="31" spans="1:13" x14ac:dyDescent="0.2">
      <c r="A31" s="7" t="s">
        <v>70</v>
      </c>
      <c r="B31" s="1">
        <v>6.92</v>
      </c>
      <c r="C31" s="1">
        <v>1.8199999999999998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Poindexter</dc:creator>
  <cp:lastModifiedBy>Will Poindexter</cp:lastModifiedBy>
  <dcterms:created xsi:type="dcterms:W3CDTF">2026-04-10T17:24:47Z</dcterms:created>
  <dcterms:modified xsi:type="dcterms:W3CDTF">2026-04-10T20:32:01Z</dcterms:modified>
</cp:coreProperties>
</file>
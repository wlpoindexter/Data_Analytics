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8D4F5137-F3B9-474D-957C-F08CD1BF2300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tore_data" sheetId="1" r:id="rId1"/>
    <sheet name="Store_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H2" i="1"/>
  <c r="G2" i="1"/>
  <c r="F2" i="1"/>
  <c r="E2" i="1"/>
  <c r="D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0B5B2B-8327-4158-B8DB-78A91C5BB0A2}" keepAlive="1" name="Query - Table002 (Page 4)" description="Connection to the 'Table002 (Page 4)' query in the workbook." type="5" refreshedVersion="0" background="1">
    <dbPr connection="Provider=Microsoft.Mashup.OleDb.1;Data Source=$Workbook$;Location=Table002 (Page 4);Extended Properties=&quot;&quot;" command="SELECT * FROM [Table002 (Page 4)]"/>
  </connection>
</connections>
</file>

<file path=xl/sharedStrings.xml><?xml version="1.0" encoding="utf-8"?>
<sst xmlns="http://schemas.openxmlformats.org/spreadsheetml/2006/main" count="21" uniqueCount="21">
  <si>
    <t>Store</t>
  </si>
  <si>
    <t>Monthly sales</t>
  </si>
  <si>
    <t>Mean</t>
  </si>
  <si>
    <t>Median</t>
  </si>
  <si>
    <t>Mode</t>
  </si>
  <si>
    <t>Range</t>
  </si>
  <si>
    <t>Deviation 1</t>
  </si>
  <si>
    <t>Deviation 2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</si>
  <si>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</si>
  <si>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</si>
  <si>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</si>
  <si>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</si>
  <si>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</si>
  <si>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</si>
  <si>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</si>
  <si>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</si>
  <si>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</si>
  <si>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</si>
  <si>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</si>
  <si>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</si>
  <si>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a. The average monthly sales across the 12 stores is about 49.42, which suggest overall performance is some what solid. Most stores are clustered in the mid to upper 40s, with a median of 47.5. The data is somewhat spread out because the standard deviation is much higher when all stores are included. Store H stands out with monthly sales of 72, which is much higher than the rest and clearly influences the results. When store H is removed, the standard deviation drops a lot, showing that most store performances is actually more consistent than it appears. This suggest the majority of stores are performing in a fairly tight range. additionla information that would help includes store size, number of customers, location traffic, and wheter store H had a special promotion or event.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</si>
</sst>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>
      <selection activeCell="G13" sqref="G13"/>
    </sheetView>
  </sheetViews>
  <sheetFormatPr defaultRowHeight="15"/>
  <sheetData>
    <row r="1" spans="1:9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 t="s">
        <v>8</v>
      </c>
      <c r="B2">
        <v>51</v>
      </c>
      <c r="D2">
        <f>AVERAGE(B2:B13)</f>
        <v>49.416666666666664</v>
      </c>
      <c r="E2">
        <f>MEDIAN(B2:B13)</f>
        <v>47.5</v>
      </c>
      <c r="F2">
        <f>_xlfn.MODE.SNGL(B2:B13)</f>
        <v>46</v>
      </c>
      <c r="G2">
        <f>MAX(B2:B13)-MIN(B2:B13)</f>
        <v>29</v>
      </c>
      <c r="H2">
        <f>_xlfn.STDEV.S(B2:B13)</f>
        <v>7.6331613054586773</v>
      </c>
      <c r="I2">
        <f>_xlfn.STDEV.S(B2:B8,B10:B13)</f>
        <v>2.9076701075853588</v>
      </c>
    </row>
    <row r="3" spans="1:9">
      <c r="A3" t="s">
        <v>9</v>
      </c>
      <c r="B3">
        <v>44</v>
      </c>
    </row>
    <row r="4" spans="1:9">
      <c r="A4" t="s">
        <v>10</v>
      </c>
      <c r="B4">
        <v>49</v>
      </c>
    </row>
    <row r="5" spans="1:9">
      <c r="A5" t="s">
        <v>11</v>
      </c>
      <c r="B5">
        <v>46</v>
      </c>
    </row>
    <row r="6" spans="1:9">
      <c r="A6" t="s">
        <v>12</v>
      </c>
      <c r="B6">
        <v>52</v>
      </c>
    </row>
    <row r="7" spans="1:9">
      <c r="A7" t="s">
        <v>13</v>
      </c>
      <c r="B7">
        <v>47</v>
      </c>
    </row>
    <row r="8" spans="1:9">
      <c r="A8" t="s">
        <v>14</v>
      </c>
      <c r="B8">
        <v>45</v>
      </c>
    </row>
    <row r="9" spans="1:9">
      <c r="A9" t="s">
        <v>15</v>
      </c>
      <c r="B9">
        <v>72</v>
      </c>
    </row>
    <row r="10" spans="1:9">
      <c r="A10" t="s">
        <v>16</v>
      </c>
      <c r="B10">
        <v>43</v>
      </c>
    </row>
    <row r="11" spans="1:9">
      <c r="A11" t="s">
        <v>17</v>
      </c>
      <c r="B11">
        <v>48</v>
      </c>
    </row>
    <row r="12" spans="1:9">
      <c r="A12" t="s">
        <v>18</v>
      </c>
      <c r="B12">
        <v>46</v>
      </c>
    </row>
    <row r="13" spans="1:9">
      <c r="A13" t="s">
        <v>19</v>
      </c>
      <c r="B13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C9F94-6CC2-44F8-A154-6D8C07D7B29E}">
  <dimension ref="A1"/>
  <sheetViews>
    <sheetView tabSelected="1" workbookViewId="0"/>
  </sheetViews>
  <sheetFormatPr defaultRowHeight="15"/>
  <cols>
    <col min="1" max="1" width="85.42578125" customWidth="1"/>
  </cols>
  <sheetData>
    <row r="1" spans="1:1" ht="137.25">
      <c r="A1" s="1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A15CAE-282E-4131-93B0-AC355892DE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2026-03-27T15:08:55Z</dcterms:created>
  <dcterms:modified xsi:type="dcterms:W3CDTF">2026-03-30T04:12:01Z</dcterms:modified>
  <cp:category/>
  <cp:contentStatus/>
</cp:coreProperties>
</file>